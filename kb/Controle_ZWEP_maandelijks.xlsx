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WEP_okt" sheetId="1" state="visible" r:id="rId3"/>
    <sheet name="ZWEP_sep_oud" sheetId="2" state="visible" r:id="rId4"/>
    <sheet name="MOK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drempel 0.5 - was 0.25 ???</t>
        </r>
      </text>
    </comment>
  </commentList>
</comments>
</file>

<file path=xl/sharedStrings.xml><?xml version="1.0" encoding="utf-8"?>
<sst xmlns="http://schemas.openxmlformats.org/spreadsheetml/2006/main" count="85" uniqueCount="60">
  <si>
    <t xml:space="preserve">Controle ZWEP okt - NIET DOORSTUREN voor Sofie OK</t>
  </si>
  <si>
    <t xml:space="preserve">Pers.nr</t>
  </si>
  <si>
    <t xml:space="preserve">Naam</t>
  </si>
  <si>
    <t xml:space="preserve">Ploeg</t>
  </si>
  <si>
    <t xml:space="preserve">Uren SYNC</t>
  </si>
  <si>
    <t xml:space="preserve">Uren loon</t>
  </si>
  <si>
    <t xml:space="preserve">Delta</t>
  </si>
  <si>
    <t xml:space="preserve">ZWEP</t>
  </si>
  <si>
    <t xml:space="preserve">Status</t>
  </si>
  <si>
    <t xml:space="preserve">Opm.</t>
  </si>
  <si>
    <t xml:space="preserve">Peeters J.</t>
  </si>
  <si>
    <t xml:space="preserve">V1</t>
  </si>
  <si>
    <t xml:space="preserve">K7</t>
  </si>
  <si>
    <t xml:space="preserve">Janssens M.</t>
  </si>
  <si>
    <t xml:space="preserve">V2</t>
  </si>
  <si>
    <t xml:space="preserve">kevin bellen</t>
  </si>
  <si>
    <t xml:space="preserve">Maes T.</t>
  </si>
  <si>
    <t xml:space="preserve">N1</t>
  </si>
  <si>
    <t xml:space="preserve">OKE</t>
  </si>
  <si>
    <t xml:space="preserve">Jacobs S.</t>
  </si>
  <si>
    <t xml:space="preserve">Mertens L.</t>
  </si>
  <si>
    <t xml:space="preserve">??</t>
  </si>
  <si>
    <t xml:space="preserve">zie TV</t>
  </si>
  <si>
    <t xml:space="preserve">Willems D.</t>
  </si>
  <si>
    <t xml:space="preserve">D</t>
  </si>
  <si>
    <t xml:space="preserve">Claes A.</t>
  </si>
  <si>
    <t xml:space="preserve">Goossens H.</t>
  </si>
  <si>
    <t xml:space="preserve">K7(?)</t>
  </si>
  <si>
    <t xml:space="preserve">TRIPOLI</t>
  </si>
  <si>
    <t xml:space="preserve">Wouters R.</t>
  </si>
  <si>
    <t xml:space="preserve">MOKA-</t>
  </si>
  <si>
    <t xml:space="preserve">M2 vergeten?</t>
  </si>
  <si>
    <t xml:space="preserve">De Smet K.</t>
  </si>
  <si>
    <t xml:space="preserve">Hermans P.</t>
  </si>
  <si>
    <t xml:space="preserve">Aerts B.</t>
  </si>
  <si>
    <t xml:space="preserve">x</t>
  </si>
  <si>
    <t xml:space="preserve">Pauwels N.</t>
  </si>
  <si>
    <t xml:space="preserve">Lambrecht E.</t>
  </si>
  <si>
    <t xml:space="preserve">GR-7</t>
  </si>
  <si>
    <t xml:space="preserve">Vermeulen G.</t>
  </si>
  <si>
    <t xml:space="preserve">Totaal delta</t>
  </si>
  <si>
    <t xml:space="preserve"># ZWEP</t>
  </si>
  <si>
    <t xml:space="preserve">PNR</t>
  </si>
  <si>
    <t xml:space="preserve">SYNC</t>
  </si>
  <si>
    <t xml:space="preserve">loon</t>
  </si>
  <si>
    <t xml:space="preserve">verschil</t>
  </si>
  <si>
    <t xml:space="preserve">Z</t>
  </si>
  <si>
    <t xml:space="preserve">Code</t>
  </si>
  <si>
    <t xml:space="preserve">Bedrag</t>
  </si>
  <si>
    <t xml:space="preserve">Wie?</t>
  </si>
  <si>
    <t xml:space="preserve">M1</t>
  </si>
  <si>
    <t xml:space="preserve">chauffeurs NAT</t>
  </si>
  <si>
    <t xml:space="preserve">M2</t>
  </si>
  <si>
    <t xml:space="preserve">chauffeurs INT &gt;1 nacht</t>
  </si>
  <si>
    <t xml:space="preserve">RVK nodig</t>
  </si>
  <si>
    <t xml:space="preserve">M3</t>
  </si>
  <si>
    <t xml:space="preserve">Benelux+ ?? klopt niet meer</t>
  </si>
  <si>
    <t xml:space="preserve">M4</t>
  </si>
  <si>
    <t xml:space="preserve">afgeschaft?</t>
  </si>
  <si>
    <t xml:space="preserve">bedragen niet geindexeerd sinds 2021?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</si>
</sst>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0" t="n">
        <v>10412</v>
      </c>
      <c r="B4" s="0" t="s">
        <v>10</v>
      </c>
      <c r="C4" s="0" t="s">
        <v>11</v>
      </c>
      <c r="D4" s="0" t="n">
        <v>168</v>
      </c>
      <c r="E4" s="0" t="n">
        <v>168</v>
      </c>
      <c r="F4" s="0" t="n">
        <f aca="false">D4-E4</f>
        <v>0</v>
      </c>
      <c r="G4" s="0" t="str">
        <f aca="false">IF(ABS(F4)&gt;0.5,"ZWEP","ok")</f>
        <v>ok</v>
      </c>
      <c r="H4" s="0" t="s">
        <v>12</v>
      </c>
    </row>
    <row r="5" customFormat="false" ht="15" hidden="false" customHeight="false" outlineLevel="0" collapsed="false">
      <c r="A5" s="0" t="n">
        <v>10415</v>
      </c>
      <c r="B5" s="0" t="s">
        <v>13</v>
      </c>
      <c r="C5" s="0" t="s">
        <v>14</v>
      </c>
      <c r="D5" s="0" t="n">
        <v>172.5</v>
      </c>
      <c r="E5" s="0" t="n">
        <v>171</v>
      </c>
      <c r="F5" s="0" t="n">
        <f aca="false">D5-E5</f>
        <v>1.5</v>
      </c>
      <c r="G5" s="0" t="str">
        <f aca="false">IF(ABS(F5)&gt;0.5,"ZWEP","ok")</f>
        <v>ZWEP</v>
      </c>
      <c r="H5" s="0" t="s">
        <v>12</v>
      </c>
      <c r="I5" s="0" t="s">
        <v>15</v>
      </c>
    </row>
    <row r="6" customFormat="false" ht="15" hidden="false" customHeight="false" outlineLevel="0" collapsed="false">
      <c r="A6" s="0" t="n">
        <v>10418</v>
      </c>
      <c r="B6" s="0" t="s">
        <v>16</v>
      </c>
      <c r="C6" s="0" t="s">
        <v>17</v>
      </c>
      <c r="D6" s="0" t="n">
        <v>181</v>
      </c>
      <c r="E6" s="0" t="n">
        <v>180.75</v>
      </c>
      <c r="F6" s="0" t="n">
        <f aca="false">D6-E6</f>
        <v>0.25</v>
      </c>
      <c r="G6" s="0" t="str">
        <f aca="false">IF(ABS(F6)&gt;0.5,"ZWEP","ok")</f>
        <v>ok</v>
      </c>
      <c r="H6" s="0" t="s">
        <v>18</v>
      </c>
    </row>
    <row r="7" customFormat="false" ht="15" hidden="false" customHeight="false" outlineLevel="0" collapsed="false">
      <c r="A7" s="0" t="n">
        <v>10421</v>
      </c>
      <c r="B7" s="0" t="s">
        <v>19</v>
      </c>
      <c r="C7" s="0" t="s">
        <v>11</v>
      </c>
      <c r="D7" s="0" t="n">
        <v>160</v>
      </c>
      <c r="E7" s="0" t="n">
        <v>160</v>
      </c>
      <c r="F7" s="0" t="n">
        <f aca="false">D7-E7</f>
        <v>0</v>
      </c>
      <c r="G7" s="0" t="str">
        <f aca="false">IF(ABS(F7)&gt;0.5,"ZWEP","ok")</f>
        <v>ok</v>
      </c>
      <c r="H7" s="0" t="s">
        <v>12</v>
      </c>
    </row>
    <row r="8" customFormat="false" ht="15" hidden="false" customHeight="false" outlineLevel="0" collapsed="false">
      <c r="A8" s="0" t="n">
        <v>10427</v>
      </c>
      <c r="B8" s="0" t="s">
        <v>20</v>
      </c>
      <c r="C8" s="0" t="s">
        <v>17</v>
      </c>
      <c r="D8" s="0" t="n">
        <v>190.25</v>
      </c>
      <c r="E8" s="0" t="n">
        <v>188</v>
      </c>
      <c r="F8" s="0" t="n">
        <f aca="false">D8-E8</f>
        <v>2.25</v>
      </c>
      <c r="G8" s="0" t="str">
        <f aca="false">IF(ABS(F8)&gt;0.5,"ZWEP","ok")</f>
        <v>ZWEP</v>
      </c>
      <c r="H8" s="0" t="s">
        <v>21</v>
      </c>
      <c r="I8" s="0" t="s">
        <v>22</v>
      </c>
    </row>
    <row r="9" customFormat="false" ht="15" hidden="false" customHeight="false" outlineLevel="0" collapsed="false">
      <c r="A9" s="0" t="n">
        <v>10433</v>
      </c>
      <c r="B9" s="0" t="s">
        <v>23</v>
      </c>
      <c r="C9" s="0" t="s">
        <v>24</v>
      </c>
      <c r="D9" s="0" t="n">
        <v>152</v>
      </c>
      <c r="E9" s="0" t="n">
        <v>152</v>
      </c>
      <c r="F9" s="0" t="n">
        <f aca="false">D9-E9</f>
        <v>0</v>
      </c>
      <c r="G9" s="0" t="str">
        <f aca="false">IF(ABS(F9)&gt;0.5,"ZWEP","ok")</f>
        <v>ok</v>
      </c>
      <c r="H9" s="0" t="s">
        <v>12</v>
      </c>
    </row>
    <row r="10" customFormat="false" ht="15" hidden="false" customHeight="false" outlineLevel="0" collapsed="false">
      <c r="A10" s="0" t="n">
        <v>10436</v>
      </c>
      <c r="B10" s="0" t="s">
        <v>25</v>
      </c>
      <c r="C10" s="0" t="s">
        <v>14</v>
      </c>
      <c r="D10" s="0" t="n">
        <v>175</v>
      </c>
      <c r="E10" s="0" t="n">
        <v>174.6</v>
      </c>
      <c r="F10" s="0" t="n">
        <f aca="false">D10-E10</f>
        <v>0.400000000000006</v>
      </c>
      <c r="G10" s="0" t="str">
        <f aca="false">IF(ABS(F10)&gt;0.5,"ZWEP","ok")</f>
        <v>ok</v>
      </c>
      <c r="H10" s="0" t="s">
        <v>18</v>
      </c>
    </row>
    <row r="11" customFormat="false" ht="15" hidden="false" customHeight="false" outlineLevel="0" collapsed="false">
      <c r="A11" s="0" t="n">
        <v>10440</v>
      </c>
      <c r="B11" s="0" t="s">
        <v>26</v>
      </c>
      <c r="C11" s="0" t="s">
        <v>17</v>
      </c>
      <c r="D11" s="0" t="n">
        <v>184.5</v>
      </c>
      <c r="E11" s="0" t="n">
        <v>184.5</v>
      </c>
      <c r="F11" s="0" t="n">
        <f aca="false">D11-E11</f>
        <v>0</v>
      </c>
      <c r="G11" s="0" t="str">
        <f aca="false">IF(ABS(F11)&gt;0.5,"ZWEP","ok")</f>
        <v>ok</v>
      </c>
      <c r="H11" s="0" t="s">
        <v>27</v>
      </c>
      <c r="I11" s="0" t="s">
        <v>28</v>
      </c>
    </row>
    <row r="12" customFormat="false" ht="15" hidden="false" customHeight="false" outlineLevel="0" collapsed="false">
      <c r="A12" s="0" t="n">
        <v>10452</v>
      </c>
      <c r="B12" s="0" t="s">
        <v>29</v>
      </c>
      <c r="C12" s="0" t="s">
        <v>11</v>
      </c>
      <c r="D12" s="0" t="n">
        <v>166</v>
      </c>
      <c r="E12" s="0" t="n">
        <v>164.5</v>
      </c>
      <c r="F12" s="0" t="n">
        <f aca="false">D12-E12</f>
        <v>1.5</v>
      </c>
      <c r="G12" s="0" t="str">
        <f aca="false">IF(ABS(F12)&gt;0.5,"ZWEP","ok")</f>
        <v>ZWEP</v>
      </c>
      <c r="H12" s="0" t="s">
        <v>30</v>
      </c>
      <c r="I12" s="0" t="s">
        <v>31</v>
      </c>
    </row>
    <row r="13" customFormat="false" ht="15" hidden="false" customHeight="false" outlineLevel="0" collapsed="false">
      <c r="A13" s="0" t="n">
        <v>10461</v>
      </c>
      <c r="B13" s="0" t="s">
        <v>32</v>
      </c>
      <c r="C13" s="0" t="s">
        <v>14</v>
      </c>
      <c r="D13" s="0" t="n">
        <v>170</v>
      </c>
      <c r="E13" s="0" t="n">
        <v>170</v>
      </c>
      <c r="F13" s="0" t="n">
        <f aca="false">D13-E13</f>
        <v>0</v>
      </c>
      <c r="G13" s="0" t="str">
        <f aca="false">IF(ABS(F13)&gt;0.5,"ZWEP","ok")</f>
        <v>ok</v>
      </c>
      <c r="H13" s="0" t="s">
        <v>12</v>
      </c>
      <c r="I13" s="3"/>
    </row>
    <row r="14" customFormat="false" ht="15" hidden="false" customHeight="false" outlineLevel="0" collapsed="false">
      <c r="A14" s="0" t="n">
        <v>10463</v>
      </c>
      <c r="B14" s="0" t="s">
        <v>33</v>
      </c>
      <c r="C14" s="0" t="s">
        <v>24</v>
      </c>
      <c r="D14" s="0" t="n">
        <v>148</v>
      </c>
      <c r="E14" s="0" t="n">
        <v>148</v>
      </c>
      <c r="F14" s="0" t="n">
        <f aca="false">D14-E14</f>
        <v>0</v>
      </c>
      <c r="G14" s="0" t="str">
        <f aca="false">IF(ABS(F14)&gt;0.5,"ZWEP","ok")</f>
        <v>ok</v>
      </c>
    </row>
    <row r="15" customFormat="false" ht="15" hidden="false" customHeight="false" outlineLevel="0" collapsed="false">
      <c r="A15" s="0" t="n">
        <v>10470</v>
      </c>
      <c r="B15" s="0" t="s">
        <v>34</v>
      </c>
      <c r="C15" s="0" t="s">
        <v>17</v>
      </c>
      <c r="D15" s="0" t="n">
        <v>195</v>
      </c>
      <c r="E15" s="0" t="n">
        <v>192</v>
      </c>
      <c r="F15" s="0" t="n">
        <f aca="false">D15-E15</f>
        <v>3</v>
      </c>
      <c r="G15" s="0" t="str">
        <f aca="false">IF(ABS(F15)&gt;0.5,"ZWEP","ok")</f>
        <v>ZWEP</v>
      </c>
      <c r="H15" s="0" t="s">
        <v>21</v>
      </c>
      <c r="I15" s="0" t="s">
        <v>35</v>
      </c>
    </row>
    <row r="16" customFormat="false" ht="15" hidden="false" customHeight="false" outlineLevel="0" collapsed="false">
      <c r="A16" s="0" t="n">
        <v>10478</v>
      </c>
      <c r="B16" s="0" t="s">
        <v>36</v>
      </c>
      <c r="C16" s="0" t="s">
        <v>11</v>
      </c>
      <c r="D16" s="0" t="n">
        <v>169.25</v>
      </c>
      <c r="E16" s="0" t="n">
        <v>169</v>
      </c>
      <c r="F16" s="0" t="n">
        <f aca="false">D16-E16</f>
        <v>0.25</v>
      </c>
      <c r="G16" s="0" t="str">
        <f aca="false">IF(ABS(F16)&gt;0.5,"ZWEP","ok")</f>
        <v>ok</v>
      </c>
      <c r="H16" s="0" t="s">
        <v>18</v>
      </c>
    </row>
    <row r="17" customFormat="false" ht="15" hidden="false" customHeight="false" outlineLevel="0" collapsed="false">
      <c r="A17" s="0" t="n">
        <v>10481</v>
      </c>
      <c r="B17" s="0" t="s">
        <v>37</v>
      </c>
      <c r="C17" s="0" t="s">
        <v>14</v>
      </c>
      <c r="D17" s="0" t="n">
        <v>173</v>
      </c>
      <c r="E17" s="0" t="n">
        <v>172.3</v>
      </c>
      <c r="F17" s="0" t="n">
        <f aca="false">D17-E17</f>
        <v>0.699999999999989</v>
      </c>
      <c r="G17" s="0" t="str">
        <f aca="false">IF(ABS(F17)&gt;0.5,"ZWEP","ok")</f>
        <v>ZWEP</v>
      </c>
      <c r="H17" s="0" t="s">
        <v>12</v>
      </c>
      <c r="I17" s="0" t="s">
        <v>38</v>
      </c>
    </row>
    <row r="18" customFormat="false" ht="15" hidden="false" customHeight="false" outlineLevel="0" collapsed="false">
      <c r="A18" s="0" t="n">
        <v>10490</v>
      </c>
      <c r="B18" s="0" t="s">
        <v>39</v>
      </c>
      <c r="C18" s="0" t="s">
        <v>24</v>
      </c>
      <c r="D18" s="0" t="n">
        <v>155</v>
      </c>
      <c r="E18" s="0" t="n">
        <v>155</v>
      </c>
      <c r="F18" s="0" t="n">
        <f aca="false">D18-E18</f>
        <v>0</v>
      </c>
      <c r="G18" s="0" t="str">
        <f aca="false">IF(ABS(F18)&gt;0.5,"ZWEP","ok")</f>
        <v>ok</v>
      </c>
      <c r="H18" s="0" t="s">
        <v>12</v>
      </c>
    </row>
    <row r="20" customFormat="false" ht="15" hidden="false" customHeight="false" outlineLevel="0" collapsed="false">
      <c r="E20" s="0" t="s">
        <v>40</v>
      </c>
      <c r="F20" s="0" t="n">
        <f aca="false">SUM(F4:F18)</f>
        <v>9.84999999999999</v>
      </c>
    </row>
    <row r="21" customFormat="false" ht="15" hidden="false" customHeight="false" outlineLevel="0" collapsed="false">
      <c r="E21" s="0" t="s">
        <v>41</v>
      </c>
      <c r="F21" s="0" t="n">
        <f aca="false">COUNTIF(G4:G18,"ZWEP")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 customFormat="false" ht="15" hidden="false" customHeight="false" outlineLevel="0" collapsed="false">
      <c r="A2" s="0" t="n">
        <v>10412</v>
      </c>
      <c r="B2" s="0" t="n">
        <v>168</v>
      </c>
      <c r="C2" s="0" t="n">
        <v>168</v>
      </c>
      <c r="D2" s="0" t="n">
        <v>0</v>
      </c>
    </row>
    <row r="3" customFormat="false" ht="15" hidden="false" customHeight="false" outlineLevel="0" collapsed="false">
      <c r="A3" s="0" t="n">
        <v>10415</v>
      </c>
      <c r="B3" s="0" t="n">
        <v>171.5</v>
      </c>
      <c r="C3" s="0" t="n">
        <v>171</v>
      </c>
      <c r="D3" s="0" t="n">
        <v>0.5</v>
      </c>
    </row>
    <row r="4" customFormat="false" ht="15" hidden="false" customHeight="false" outlineLevel="0" collapsed="false">
      <c r="A4" s="0" t="n">
        <v>10427</v>
      </c>
      <c r="B4" s="0" t="n">
        <v>189</v>
      </c>
      <c r="C4" s="0" t="n">
        <v>188</v>
      </c>
      <c r="D4" s="0" t="n">
        <v>1</v>
      </c>
      <c r="E4" s="0" t="s">
        <v>46</v>
      </c>
    </row>
    <row r="5" customFormat="false" ht="15" hidden="false" customHeight="false" outlineLevel="0" collapsed="false">
      <c r="A5" s="0" t="n">
        <v>10452</v>
      </c>
      <c r="B5" s="0" t="n">
        <v>166</v>
      </c>
      <c r="C5" s="0" t="n">
        <v>164</v>
      </c>
      <c r="D5" s="0" t="n">
        <v>2</v>
      </c>
      <c r="E5" s="0" t="s">
        <v>46</v>
      </c>
    </row>
    <row r="6" customFormat="false" ht="15" hidden="false" customHeight="false" outlineLevel="0" collapsed="false">
      <c r="A6" s="0" t="n">
        <v>10470</v>
      </c>
      <c r="B6" s="0" t="n">
        <v>194</v>
      </c>
      <c r="C6" s="0" t="n">
        <v>193.5</v>
      </c>
      <c r="D6" s="0" t="n">
        <v>0.5</v>
      </c>
      <c r="E6" s="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47</v>
      </c>
      <c r="B1" s="2" t="s">
        <v>48</v>
      </c>
      <c r="C1" s="2" t="s">
        <v>49</v>
      </c>
      <c r="D1" s="2" t="s">
        <v>9</v>
      </c>
    </row>
    <row r="2" customFormat="false" ht="15" hidden="false" customHeight="false" outlineLevel="0" collapsed="false">
      <c r="A2" s="0" t="s">
        <v>50</v>
      </c>
      <c r="B2" s="0" t="n">
        <v>12.5</v>
      </c>
      <c r="C2" s="0" t="s">
        <v>51</v>
      </c>
    </row>
    <row r="3" customFormat="false" ht="15" hidden="false" customHeight="false" outlineLevel="0" collapsed="false">
      <c r="A3" s="0" t="s">
        <v>52</v>
      </c>
      <c r="B3" s="0" t="n">
        <v>27.5</v>
      </c>
      <c r="C3" s="0" t="s">
        <v>53</v>
      </c>
      <c r="D3" s="0" t="s">
        <v>54</v>
      </c>
    </row>
    <row r="4" customFormat="false" ht="15" hidden="false" customHeight="false" outlineLevel="0" collapsed="false">
      <c r="A4" s="0" t="s">
        <v>55</v>
      </c>
      <c r="B4" s="0" t="n">
        <v>41</v>
      </c>
      <c r="C4" s="0" t="s">
        <v>21</v>
      </c>
      <c r="D4" s="0" t="s">
        <v>56</v>
      </c>
    </row>
    <row r="5" customFormat="false" ht="15" hidden="false" customHeight="false" outlineLevel="0" collapsed="false">
      <c r="A5" s="0" t="s">
        <v>57</v>
      </c>
      <c r="B5" s="0" t="n">
        <v>0</v>
      </c>
      <c r="D5" s="0" t="s">
        <v>58</v>
      </c>
    </row>
    <row r="7" customFormat="false" ht="15" hidden="false" customHeight="false" outlineLevel="0" collapsed="false">
      <c r="A7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2026-09-30T18:04:07Z</dcterms:created>
  <dc:creator>openpyxl</dc:creator>
  <dc:description/>
  <dc:language>en-US</dc:language>
  <cp:lastModifiedBy/>
  <dcterms:modified xsi:type="dcterms:W3CDTF">2026-09-30T18:04:07Z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