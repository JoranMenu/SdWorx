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  <sheet name="NP" sheetId="2" state="visible" r:id="rId4"/>
    <sheet name="Blad3" sheetId="3" state="visible" r:id="rId5"/>
    <sheet name="SN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check met Kevin!!</t>
        </r>
      </text>
    </comment>
  </commentList>
</comments>
</file>

<file path=xl/sharedStrings.xml><?xml version="1.0" encoding="utf-8"?>
<sst xmlns="http://schemas.openxmlformats.org/spreadsheetml/2006/main" count="48" uniqueCount="41">
  <si>
    <t xml:space="preserve">TARIEVEN 2023 - NIET WIJZIGEN</t>
  </si>
  <si>
    <t xml:space="preserve">(kopie van kopie - zie mail Marleen jan)</t>
  </si>
  <si>
    <t xml:space="preserve">Cat</t>
  </si>
  <si>
    <t xml:space="preserve">Functie</t>
  </si>
  <si>
    <t xml:space="preserve">Basis uur</t>
  </si>
  <si>
    <t xml:space="preserve">idx</t>
  </si>
  <si>
    <t xml:space="preserve">Uurloon</t>
  </si>
  <si>
    <t xml:space="preserve">ZWEP-toeslag</t>
  </si>
  <si>
    <t xml:space="preserve">NP</t>
  </si>
  <si>
    <t xml:space="preserve">A</t>
  </si>
  <si>
    <t xml:space="preserve">chauffeur INT</t>
  </si>
  <si>
    <t xml:space="preserve">B</t>
  </si>
  <si>
    <t xml:space="preserve">chauffeur NAT</t>
  </si>
  <si>
    <t xml:space="preserve">C</t>
  </si>
  <si>
    <t xml:space="preserve">magazijn</t>
  </si>
  <si>
    <t xml:space="preserve">D</t>
  </si>
  <si>
    <t xml:space="preserve">admin</t>
  </si>
  <si>
    <t xml:space="preserve">E</t>
  </si>
  <si>
    <t xml:space="preserve">stagiair??</t>
  </si>
  <si>
    <t xml:space="preserve">F</t>
  </si>
  <si>
    <t xml:space="preserve">interim HDV</t>
  </si>
  <si>
    <t xml:space="preserve">interim: tarief van bureau, niet van ons?</t>
  </si>
  <si>
    <t xml:space="preserve">gem.</t>
  </si>
  <si>
    <t xml:space="preserve">NP (nachtpremie)</t>
  </si>
  <si>
    <t xml:space="preserve">22-06 week</t>
  </si>
  <si>
    <t xml:space="preserve">?</t>
  </si>
  <si>
    <t xml:space="preserve">zaterdag</t>
  </si>
  <si>
    <t xml:space="preserve">CAO??</t>
  </si>
  <si>
    <t xml:space="preserve">zon/feestdag</t>
  </si>
  <si>
    <t xml:space="preserve">mail Marleen 12/01</t>
  </si>
  <si>
    <t xml:space="preserve">tussen 20-22 (?)</t>
  </si>
  <si>
    <t xml:space="preserve">vakantie?? 0.0892</t>
  </si>
  <si>
    <t xml:space="preserve">13e maand /12</t>
  </si>
  <si>
    <t xml:space="preserve">TRIPOLI -&gt; zie lijst Marleen</t>
  </si>
  <si>
    <t xml:space="preserve">dubbel VG 2022 -&gt; 92% ?</t>
  </si>
  <si>
    <t xml:space="preserve">nagaan: 0.3827 x 1.0347 ???</t>
  </si>
  <si>
    <t xml:space="preserve">Kevin bellen over M3</t>
  </si>
  <si>
    <t xml:space="preserve">DO NOT TOUCH - snapshot vs KLAVER</t>
  </si>
  <si>
    <t xml:space="preserve">Uurloon snapshot</t>
  </si>
  <si>
    <t xml:space="preserve">verschil</t>
  </si>
  <si>
    <t xml:space="preserve">link: S:\loon\_OLD2\[Tarieven_2021.xlsx]Blad1!B4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</si>
</sst>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14.8231</v>
      </c>
      <c r="D5" s="0" t="n">
        <v>1.0347</v>
      </c>
      <c r="E5" s="0" t="n">
        <f aca="false">C5*D5</f>
        <v>15.33746157</v>
      </c>
      <c r="F5" s="0" t="n">
        <f aca="false">ROUND(E5*0.0615,4)</f>
        <v>0.9433</v>
      </c>
      <c r="G5" s="0" t="n">
        <f aca="false">ROUND(E5*NP!$B$3,4)</f>
        <v>5.8696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14.112</v>
      </c>
      <c r="D6" s="0" t="n">
        <v>1.0347</v>
      </c>
      <c r="E6" s="0" t="n">
        <f aca="false">C6*D6</f>
        <v>14.6016864</v>
      </c>
      <c r="F6" s="0" t="n">
        <f aca="false">ROUND(E6*0.0615,4)</f>
        <v>0.898</v>
      </c>
      <c r="G6" s="0" t="n">
        <f aca="false">ROUND(E6*NP!$B$3,4)</f>
        <v>5.5881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n">
        <v>13.2504</v>
      </c>
      <c r="D7" s="0" t="n">
        <v>1.0347</v>
      </c>
      <c r="E7" s="0" t="n">
        <f aca="false">C7*D7</f>
        <v>13.71018888</v>
      </c>
      <c r="F7" s="0" t="n">
        <f aca="false">ROUND(E7*0.0575,4)</f>
        <v>0.7883</v>
      </c>
      <c r="G7" s="0" t="n">
        <f aca="false">ROUND(E7*NP!$B$3,4)</f>
        <v>5.2469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15</v>
      </c>
      <c r="D8" s="0" t="n">
        <v>1.0341</v>
      </c>
      <c r="E8" s="3" t="n">
        <f aca="false">C8*D8</f>
        <v>15.5115</v>
      </c>
      <c r="F8" s="4" t="n">
        <f aca="false">ROUND(E8*0.0615,4)</f>
        <v>0.954</v>
      </c>
      <c r="G8" s="4" t="n">
        <f aca="false">ROUND(E8*NP!$B$3,4)</f>
        <v>5.9363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9.12</v>
      </c>
      <c r="D9" s="0" t="n">
        <v>1.0347</v>
      </c>
      <c r="E9" s="0" t="n">
        <f aca="false">C9*D9*38/38</f>
        <v>9.436464</v>
      </c>
      <c r="F9" s="0" t="n">
        <f aca="false">ROUND(E9*0.0615,4)</f>
        <v>0.5803</v>
      </c>
      <c r="G9" s="0" t="n">
        <f aca="false">ROUND(E9*NP!$B$3,4)</f>
        <v>3.6113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n">
        <v>16.44</v>
      </c>
      <c r="D10" s="0" t="n">
        <v>1.0347</v>
      </c>
      <c r="E10" s="0" t="n">
        <f aca="false">C10*D10</f>
        <v>17.010468</v>
      </c>
      <c r="F10" s="0" t="n">
        <f aca="false">ROUND(E10*0.0615,4)</f>
        <v>1.0461</v>
      </c>
      <c r="G10" s="0" t="n">
        <f aca="false">ROUND(E10*NP!$B$3,4)</f>
        <v>6.5099</v>
      </c>
    </row>
    <row r="11" customFormat="false" ht="15" hidden="false" customHeight="false" outlineLevel="0" collapsed="false">
      <c r="B11" s="0" t="s">
        <v>21</v>
      </c>
    </row>
    <row r="12" customFormat="false" ht="15" hidden="false" customHeight="false" outlineLevel="0" collapsed="false">
      <c r="B12" s="0" t="s">
        <v>22</v>
      </c>
      <c r="E12" s="0" t="n">
        <f aca="false">AVERAGE(E5:E10)</f>
        <v>14.267961475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23</v>
      </c>
    </row>
    <row r="3" customFormat="false" ht="15" hidden="false" customHeight="false" outlineLevel="0" collapsed="false">
      <c r="A3" s="0" t="s">
        <v>24</v>
      </c>
      <c r="B3" s="0" t="n">
        <v>0.3827</v>
      </c>
      <c r="C3" s="0" t="s">
        <v>25</v>
      </c>
    </row>
    <row r="4" customFormat="false" ht="15" hidden="false" customHeight="false" outlineLevel="0" collapsed="false">
      <c r="A4" s="0" t="s">
        <v>26</v>
      </c>
      <c r="B4" s="0" t="n">
        <v>0.5</v>
      </c>
      <c r="C4" s="0" t="s">
        <v>27</v>
      </c>
    </row>
    <row r="5" customFormat="false" ht="15" hidden="false" customHeight="false" outlineLevel="0" collapsed="false">
      <c r="A5" s="0" t="s">
        <v>28</v>
      </c>
      <c r="B5" s="0" t="n">
        <v>1</v>
      </c>
      <c r="C5" s="0" t="s">
        <v>29</v>
      </c>
    </row>
    <row r="6" customFormat="false" ht="15" hidden="false" customHeight="false" outlineLevel="0" collapsed="false">
      <c r="A6" s="0" t="s">
        <v>30</v>
      </c>
      <c r="B6" s="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34</v>
      </c>
    </row>
    <row r="5" customFormat="false" ht="15" hidden="false" customHeight="false" outlineLevel="0" collapsed="false">
      <c r="A5" s="0" t="s">
        <v>35</v>
      </c>
    </row>
    <row r="6" customFormat="false" ht="15" hidden="false" customHeight="false" outlineLevel="0" collapsed="false">
      <c r="A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37</v>
      </c>
    </row>
    <row r="3" customFormat="false" ht="15" hidden="false" customHeight="false" outlineLevel="0" collapsed="false">
      <c r="A3" s="2" t="s">
        <v>2</v>
      </c>
      <c r="B3" s="2" t="s">
        <v>38</v>
      </c>
      <c r="C3" s="2" t="s">
        <v>39</v>
      </c>
    </row>
    <row r="4" customFormat="false" ht="15" hidden="false" customHeight="false" outlineLevel="0" collapsed="false">
      <c r="A4" s="0" t="s">
        <v>9</v>
      </c>
      <c r="B4" s="0" t="n">
        <v>15.3376</v>
      </c>
      <c r="C4" s="0" t="n">
        <f aca="false">B4-Blad1!E5</f>
        <v>0.000138429999999801</v>
      </c>
      <c r="E4" s="0" t="s">
        <v>40</v>
      </c>
    </row>
    <row r="5" customFormat="false" ht="15" hidden="false" customHeight="false" outlineLevel="0" collapsed="false">
      <c r="A5" s="0" t="s">
        <v>11</v>
      </c>
      <c r="B5" s="0" t="n">
        <v>14.6021</v>
      </c>
      <c r="C5" s="0" t="n">
        <f aca="false">B5-Blad1!E6</f>
        <v>0.000413599999999903</v>
      </c>
      <c r="E5" s="0" t="e">
        <f aca="false">#REF!</f>
        <v>#REF!</v>
      </c>
    </row>
    <row r="6" customFormat="false" ht="15" hidden="false" customHeight="false" outlineLevel="0" collapsed="false">
      <c r="A6" s="0" t="s">
        <v>13</v>
      </c>
      <c r="B6" s="0" t="n">
        <v>13.71</v>
      </c>
      <c r="C6" s="0" t="n">
        <f aca="false">B6-Blad1!E7</f>
        <v>-0.000188879999999614</v>
      </c>
    </row>
    <row r="7" customFormat="false" ht="15" hidden="false" customHeight="false" outlineLevel="0" collapsed="false">
      <c r="A7" s="0" t="s">
        <v>15</v>
      </c>
      <c r="B7" s="0" t="n">
        <v>15.5115</v>
      </c>
      <c r="C7" s="0" t="n">
        <f aca="false">B7-Blad1!E8</f>
        <v>0</v>
      </c>
    </row>
    <row r="8" customFormat="false" ht="15" hidden="false" customHeight="false" outlineLevel="0" collapsed="false">
      <c r="A8" s="0" t="s">
        <v>17</v>
      </c>
      <c r="B8" s="0" t="n">
        <v>9.4368</v>
      </c>
      <c r="C8" s="0" t="n">
        <f aca="false">B8-Blad1!E9</f>
        <v>0.00033600000000078</v>
      </c>
    </row>
    <row r="9" customFormat="false" ht="15" hidden="false" customHeight="false" outlineLevel="0" collapsed="false">
      <c r="A9" s="0" t="s">
        <v>19</v>
      </c>
      <c r="B9" s="0" t="n">
        <v>17.0111</v>
      </c>
      <c r="C9" s="0" t="n">
        <f aca="false">B9-Blad1!E10</f>
        <v>0.000631999999999522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2026-09-30T18:04:07Z</dcterms:created>
  <dc:creator>openpyxl</dc:creator>
  <dc:description/>
  <dc:language>en-US</dc:language>
  <cp:lastModifiedBy/>
  <dcterms:modified xsi:type="dcterms:W3CDTF">2026-09-30T18:04:07Z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