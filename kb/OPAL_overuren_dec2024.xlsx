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AL_dec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<sst xmlns="http://schemas.openxmlformats.org/spreadsheetml/2006/main" count="28" uniqueCount="25">
  <si>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OPAL dec 2024</t>
  </si>
  <si>
    <t xml:space="preserve">drempel</t>
  </si>
  <si>
    <t xml:space="preserve">PNR</t>
  </si>
  <si>
    <t xml:space="preserve">Naam</t>
  </si>
  <si>
    <t xml:space="preserve">Overuren jaar</t>
  </si>
  <si>
    <t xml:space="preserve">Recup genomen</t>
  </si>
  <si>
    <t xml:space="preserve">Saldo</t>
  </si>
  <si>
    <t xml:space="preserve">Uit te betalen uren</t>
  </si>
  <si>
    <t xml:space="preserve">Uurloon</t>
  </si>
  <si>
    <t xml:space="preserve">Factor</t>
  </si>
  <si>
    <t xml:space="preserve">Bedrag</t>
  </si>
  <si>
    <t xml:space="preserve">OPAL?</t>
  </si>
  <si>
    <t xml:space="preserve">Maes T.</t>
  </si>
  <si>
    <t xml:space="preserve">Y</t>
  </si>
  <si>
    <t xml:space="preserve">Mertens L.</t>
  </si>
  <si>
    <t xml:space="preserve">Goossens H.</t>
  </si>
  <si>
    <t xml:space="preserve">Y?</t>
  </si>
  <si>
    <t xml:space="preserve">Wouters R.</t>
  </si>
  <si>
    <t xml:space="preserve">Aerts B.</t>
  </si>
  <si>
    <t xml:space="preserve">N (Marleen zei)</t>
  </si>
  <si>
    <t xml:space="preserve">Lambrecht E.</t>
  </si>
  <si>
    <t xml:space="preserve">Janssens M.</t>
  </si>
  <si>
    <t xml:space="preserve">nee</t>
  </si>
  <si>
    <t xml:space="preserve">Totaal</t>
  </si>
  <si>
    <t xml:space="preserve">zondag 200%? nagaan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</si>
</sst>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libri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H1" s="2" t="s">
        <v>1</v>
      </c>
      <c r="I1" s="0" t="n">
        <v>120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0" t="n">
        <v>10418</v>
      </c>
      <c r="B4" s="0" t="s">
        <v>12</v>
      </c>
      <c r="C4" s="0" t="n">
        <v>210</v>
      </c>
      <c r="D4" s="0" t="n">
        <v>60</v>
      </c>
      <c r="E4" s="0" t="n">
        <f aca="false">C4-D4</f>
        <v>150</v>
      </c>
      <c r="F4" s="0" t="n">
        <f aca="false">MAX(0,E4-$I$1)</f>
        <v>30</v>
      </c>
      <c r="G4" s="0" t="n">
        <v>15.3375</v>
      </c>
      <c r="H4" s="0" t="n">
        <v>1.5</v>
      </c>
      <c r="I4" s="0" t="n">
        <f aca="false">ROUND(F4*G4*H4,2)</f>
        <v>690.19</v>
      </c>
      <c r="J4" s="0" t="s">
        <v>13</v>
      </c>
    </row>
    <row r="5" customFormat="false" ht="15" hidden="false" customHeight="false" outlineLevel="0" collapsed="false">
      <c r="A5" s="0" t="n">
        <v>10427</v>
      </c>
      <c r="B5" s="0" t="s">
        <v>14</v>
      </c>
      <c r="C5" s="0" t="n">
        <v>260</v>
      </c>
      <c r="D5" s="0" t="n">
        <v>40</v>
      </c>
      <c r="E5" s="0" t="n">
        <f aca="false">C5-D5</f>
        <v>220</v>
      </c>
      <c r="F5" s="0" t="n">
        <f aca="false">MAX(0,E5-$I$1)</f>
        <v>100</v>
      </c>
      <c r="G5" s="0" t="n">
        <v>15.3375</v>
      </c>
      <c r="H5" s="0" t="n">
        <v>1.5</v>
      </c>
      <c r="I5" s="0" t="n">
        <f aca="false">ROUND(F5*G5*H5,2)</f>
        <v>2300.63</v>
      </c>
      <c r="J5" s="0" t="s">
        <v>13</v>
      </c>
    </row>
    <row r="6" customFormat="false" ht="15" hidden="false" customHeight="false" outlineLevel="0" collapsed="false">
      <c r="A6" s="0" t="n">
        <v>10440</v>
      </c>
      <c r="B6" s="0" t="s">
        <v>15</v>
      </c>
      <c r="C6" s="0" t="n">
        <v>190</v>
      </c>
      <c r="D6" s="0" t="n">
        <v>50</v>
      </c>
      <c r="E6" s="0" t="n">
        <f aca="false">C6-D6</f>
        <v>140</v>
      </c>
      <c r="F6" s="0" t="n">
        <f aca="false">MAX(0,E6-$I$1)</f>
        <v>20</v>
      </c>
      <c r="G6" s="0" t="n">
        <v>15.3375</v>
      </c>
      <c r="H6" s="4" t="n">
        <v>1.75</v>
      </c>
      <c r="I6" s="2" t="n">
        <f aca="false">ROUND(F6*G6*H6,2)</f>
        <v>536.81</v>
      </c>
      <c r="J6" s="2" t="s">
        <v>16</v>
      </c>
    </row>
    <row r="7" customFormat="false" ht="15" hidden="false" customHeight="false" outlineLevel="0" collapsed="false">
      <c r="A7" s="0" t="n">
        <v>10452</v>
      </c>
      <c r="B7" s="0" t="s">
        <v>17</v>
      </c>
      <c r="C7" s="0" t="n">
        <v>150</v>
      </c>
      <c r="D7" s="0" t="n">
        <v>20</v>
      </c>
      <c r="E7" s="0" t="n">
        <f aca="false">C7-D7</f>
        <v>130</v>
      </c>
      <c r="F7" s="0" t="n">
        <f aca="false">MAX(0,E7-$I$1)</f>
        <v>10</v>
      </c>
      <c r="G7" s="0" t="n">
        <v>14.6017</v>
      </c>
      <c r="H7" s="0" t="n">
        <v>1.5</v>
      </c>
      <c r="I7" s="0" t="n">
        <f aca="false">ROUND(F7*G7*H7,2)</f>
        <v>219.03</v>
      </c>
      <c r="J7" s="0" t="s">
        <v>13</v>
      </c>
    </row>
    <row r="8" customFormat="false" ht="15" hidden="false" customHeight="false" outlineLevel="0" collapsed="false">
      <c r="A8" s="0" t="n">
        <v>10470</v>
      </c>
      <c r="B8" s="0" t="s">
        <v>18</v>
      </c>
      <c r="C8" s="0" t="n">
        <v>275</v>
      </c>
      <c r="D8" s="0" t="n">
        <v>35</v>
      </c>
      <c r="E8" s="0" t="n">
        <f aca="false">C8-D8</f>
        <v>240</v>
      </c>
      <c r="F8" s="0" t="n">
        <f aca="false">MAX(0,E8-$I$1)</f>
        <v>120</v>
      </c>
      <c r="G8" s="0" t="n">
        <v>15.3375</v>
      </c>
      <c r="H8" s="0" t="n">
        <v>1.5</v>
      </c>
      <c r="I8" s="0" t="n">
        <f aca="false">ROUND(F8*G8*H8,2)</f>
        <v>2760.75</v>
      </c>
      <c r="J8" s="0" t="s">
        <v>19</v>
      </c>
    </row>
    <row r="9" customFormat="false" ht="15" hidden="false" customHeight="false" outlineLevel="0" collapsed="false">
      <c r="A9" s="0" t="n">
        <v>10481</v>
      </c>
      <c r="B9" s="0" t="s">
        <v>20</v>
      </c>
      <c r="C9" s="0" t="n">
        <v>180</v>
      </c>
      <c r="D9" s="0" t="n">
        <v>90</v>
      </c>
      <c r="E9" s="0" t="n">
        <f aca="false">C9-D9</f>
        <v>90</v>
      </c>
      <c r="F9" s="0" t="n">
        <f aca="false">MAX(0,E9-$I$1)</f>
        <v>0</v>
      </c>
      <c r="G9" s="0" t="n">
        <v>14.6017</v>
      </c>
      <c r="H9" s="0" t="n">
        <v>1.5</v>
      </c>
      <c r="I9" s="0" t="n">
        <f aca="false">ROUND(F9*G9*H9,2)</f>
        <v>0</v>
      </c>
      <c r="J9" s="0" t="s">
        <v>13</v>
      </c>
    </row>
    <row r="10" customFormat="false" ht="15" hidden="false" customHeight="false" outlineLevel="0" collapsed="false">
      <c r="A10" s="0" t="n">
        <v>10415</v>
      </c>
      <c r="B10" s="0" t="s">
        <v>21</v>
      </c>
      <c r="C10" s="0" t="n">
        <v>95</v>
      </c>
      <c r="D10" s="0" t="n">
        <v>10</v>
      </c>
      <c r="E10" s="0" t="n">
        <f aca="false">C10-D10</f>
        <v>85</v>
      </c>
      <c r="F10" s="0" t="n">
        <f aca="false">MAX(0,E10-$I$1)</f>
        <v>0</v>
      </c>
      <c r="G10" s="0" t="n">
        <v>14.6017</v>
      </c>
      <c r="H10" s="0" t="n">
        <v>1.5</v>
      </c>
      <c r="I10" s="0" t="n">
        <f aca="false">ROUND(F10*G10*H10,2)</f>
        <v>0</v>
      </c>
      <c r="J10" s="0" t="s">
        <v>22</v>
      </c>
    </row>
    <row r="12" customFormat="false" ht="15" hidden="false" customHeight="false" outlineLevel="0" collapsed="false">
      <c r="H12" s="0" t="s">
        <v>23</v>
      </c>
      <c r="I12" s="0" t="n">
        <f aca="false">SUM(I4:I10)</f>
        <v>6507.41</v>
      </c>
    </row>
    <row r="14" customFormat="false" ht="15" hidden="false" customHeight="false" outlineLevel="0" collapsed="false">
      <c r="A14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2026-09-30T18:15:04Z</dcterms:created>
  <dc:creator>openpyxl</dc:creator>
  <dc:description/>
  <dc:language>en-US</dc:language>
  <cp:lastModifiedBy/>
  <dcterms:modified xsi:type="dcterms:W3CDTF">2026-09-30T18:15:04Z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